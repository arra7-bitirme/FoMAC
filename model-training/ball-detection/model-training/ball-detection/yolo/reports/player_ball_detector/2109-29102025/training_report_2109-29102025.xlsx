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_Metrics" sheetId="2" state="visible" r:id="rId2"/>
    <sheet name="Configuration" sheetId="3" state="visible" r:id="rId3"/>
    <sheet name="Dataset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Report Summary</t>
        </is>
      </c>
      <c r="B2" t="inlineStr"/>
    </row>
    <row r="3">
      <c r="A3" t="inlineStr">
        <is>
          <t>Generated</t>
        </is>
      </c>
      <c r="B3" t="inlineStr">
        <is>
          <t>2025-10-29 21:09:09</t>
        </is>
      </c>
    </row>
    <row r="4">
      <c r="A4" t="inlineStr"/>
      <c r="B4" t="inlineStr"/>
    </row>
    <row r="5">
      <c r="A5" t="inlineStr">
        <is>
          <t>Model Information</t>
        </is>
      </c>
      <c r="B5" t="inlineStr"/>
    </row>
    <row r="6">
      <c r="A6" t="inlineStr">
        <is>
          <t>Architecture</t>
        </is>
      </c>
      <c r="B6" t="inlineStr">
        <is>
          <t>N/A</t>
        </is>
      </c>
    </row>
    <row r="7">
      <c r="A7" t="inlineStr">
        <is>
          <t>Epochs</t>
        </is>
      </c>
      <c r="B7" t="inlineStr">
        <is>
          <t>N/A</t>
        </is>
      </c>
    </row>
    <row r="8">
      <c r="A8" t="inlineStr">
        <is>
          <t>Batch Size</t>
        </is>
      </c>
      <c r="B8" t="inlineStr">
        <is>
          <t>N/A</t>
        </is>
      </c>
    </row>
    <row r="9">
      <c r="A9" t="inlineStr">
        <is>
          <t>Image Size</t>
        </is>
      </c>
      <c r="B9" t="inlineStr">
        <is>
          <t>N/A</t>
        </is>
      </c>
    </row>
    <row r="10">
      <c r="A10" t="inlineStr">
        <is>
          <t>Model Path</t>
        </is>
      </c>
      <c r="B10" t="inlineStr">
        <is>
          <t>/home/alperen/fomac/FoMAC/model-training/ball-detection/models/player_ball_detector/weights/best.pt</t>
        </is>
      </c>
    </row>
    <row r="11">
      <c r="A11" t="inlineStr"/>
      <c r="B11" t="inlineStr"/>
    </row>
    <row r="12">
      <c r="A12" t="inlineStr">
        <is>
          <t>Training Settings</t>
        </is>
      </c>
      <c r="B12" t="inlineStr"/>
    </row>
    <row r="13">
      <c r="A13" t="inlineStr">
        <is>
          <t>Optimizer</t>
        </is>
      </c>
      <c r="B13" t="inlineStr">
        <is>
          <t>N/A</t>
        </is>
      </c>
    </row>
    <row r="14">
      <c r="A14" t="inlineStr">
        <is>
          <t>Learning Rate</t>
        </is>
      </c>
      <c r="B14" t="inlineStr">
        <is>
          <t>N/A</t>
        </is>
      </c>
    </row>
    <row r="15">
      <c r="A15" t="inlineStr">
        <is>
          <t>Device</t>
        </is>
      </c>
      <c r="B15" t="inlineStr">
        <is>
          <t>N/A</t>
        </is>
      </c>
    </row>
    <row r="16">
      <c r="A16" t="inlineStr">
        <is>
          <t>Workers</t>
        </is>
      </c>
      <c r="B16" t="inlineStr">
        <is>
          <t>N/A</t>
        </is>
      </c>
    </row>
    <row r="17">
      <c r="A17" t="inlineStr"/>
      <c r="B17" t="inlineStr"/>
    </row>
    <row r="18">
      <c r="A18" t="inlineStr">
        <is>
          <t>Dataset Information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601.908</v>
      </c>
      <c r="C2" t="n">
        <v>2.75959</v>
      </c>
      <c r="D2" t="n">
        <v>3.7158</v>
      </c>
      <c r="E2" t="n">
        <v>2.40245</v>
      </c>
      <c r="F2" t="n">
        <v>0</v>
      </c>
      <c r="G2" t="n">
        <v>0</v>
      </c>
      <c r="H2" t="n">
        <v>0</v>
      </c>
      <c r="I2" t="n">
        <v>0</v>
      </c>
      <c r="J2" t="n">
        <v>4.78403</v>
      </c>
      <c r="K2" t="n">
        <v>7.39347</v>
      </c>
      <c r="L2" t="n">
        <v>4.83017</v>
      </c>
      <c r="M2" t="n">
        <v>0.07942</v>
      </c>
      <c r="N2" t="n">
        <v>0.00042</v>
      </c>
      <c r="O2" t="n">
        <v>0.00042</v>
      </c>
    </row>
    <row r="3">
      <c r="A3" t="n">
        <v>2</v>
      </c>
      <c r="B3" t="n">
        <v>1281.25</v>
      </c>
      <c r="C3" t="n">
        <v>1.9025</v>
      </c>
      <c r="D3" t="n">
        <v>1.9719</v>
      </c>
      <c r="E3" t="n">
        <v>1.88059</v>
      </c>
      <c r="F3" t="n">
        <v>0.22019</v>
      </c>
      <c r="G3" t="n">
        <v>0.00489</v>
      </c>
      <c r="H3" t="n">
        <v>0.11186</v>
      </c>
      <c r="I3" t="n">
        <v>0.03765</v>
      </c>
      <c r="J3" t="n">
        <v>3.71891</v>
      </c>
      <c r="K3" t="n">
        <v>6.87316</v>
      </c>
      <c r="L3" t="n">
        <v>3.91499</v>
      </c>
      <c r="M3" t="n">
        <v>0.0578392</v>
      </c>
      <c r="N3" t="n">
        <v>0.000839165</v>
      </c>
      <c r="O3" t="n">
        <v>0.000839165</v>
      </c>
    </row>
    <row r="4">
      <c r="A4" t="n">
        <v>3</v>
      </c>
      <c r="B4" t="n">
        <v>1944.79</v>
      </c>
      <c r="C4" t="n">
        <v>1.72687</v>
      </c>
      <c r="D4" t="n">
        <v>1.61183</v>
      </c>
      <c r="E4" t="n">
        <v>1.66357</v>
      </c>
      <c r="F4" t="n">
        <v>0.12289</v>
      </c>
      <c r="G4" t="n">
        <v>0.06149</v>
      </c>
      <c r="H4" t="n">
        <v>0.08364000000000001</v>
      </c>
      <c r="I4" t="n">
        <v>0.02931</v>
      </c>
      <c r="J4" t="n">
        <v>2.96501</v>
      </c>
      <c r="K4" t="n">
        <v>5.50699</v>
      </c>
      <c r="L4" t="n">
        <v>3.29538</v>
      </c>
      <c r="M4" t="n">
        <v>0.0361771</v>
      </c>
      <c r="N4" t="n">
        <v>0.0011771</v>
      </c>
      <c r="O4" t="n">
        <v>0.0011771</v>
      </c>
    </row>
    <row r="5">
      <c r="A5" t="n">
        <v>4</v>
      </c>
      <c r="B5" t="n">
        <v>2585.27</v>
      </c>
      <c r="C5" t="n">
        <v>1.65918</v>
      </c>
      <c r="D5" t="n">
        <v>1.40374</v>
      </c>
      <c r="E5" t="n">
        <v>1.62485</v>
      </c>
      <c r="F5" t="n">
        <v>0.07597</v>
      </c>
      <c r="G5" t="n">
        <v>0.13892</v>
      </c>
      <c r="H5" t="n">
        <v>0.09327000000000001</v>
      </c>
      <c r="I5" t="n">
        <v>0.03424</v>
      </c>
      <c r="J5" t="n">
        <v>2.73692</v>
      </c>
      <c r="K5" t="n">
        <v>4.94104</v>
      </c>
      <c r="L5" t="n">
        <v>3.17874</v>
      </c>
      <c r="M5" t="n">
        <v>0.014385</v>
      </c>
      <c r="N5" t="n">
        <v>0.00138496</v>
      </c>
      <c r="O5" t="n">
        <v>0.00138496</v>
      </c>
    </row>
    <row r="6">
      <c r="A6" t="n">
        <v>5</v>
      </c>
      <c r="B6" t="n">
        <v>3236.27</v>
      </c>
      <c r="C6" t="n">
        <v>1.56306</v>
      </c>
      <c r="D6" t="n">
        <v>1.38772</v>
      </c>
      <c r="E6" t="n">
        <v>1.67581</v>
      </c>
      <c r="F6" t="n">
        <v>0.5099900000000001</v>
      </c>
      <c r="G6" t="n">
        <v>0.10888</v>
      </c>
      <c r="H6" t="n">
        <v>0.11574</v>
      </c>
      <c r="I6" t="n">
        <v>0.04046</v>
      </c>
      <c r="J6" t="n">
        <v>2.67083</v>
      </c>
      <c r="K6" t="n">
        <v>4.96792</v>
      </c>
      <c r="L6" t="n">
        <v>3.16082</v>
      </c>
      <c r="M6" t="n">
        <v>0.00131593</v>
      </c>
      <c r="N6" t="n">
        <v>0.00131593</v>
      </c>
      <c r="O6" t="n">
        <v>0.00131593</v>
      </c>
    </row>
    <row r="7">
      <c r="A7" t="n">
        <v>6</v>
      </c>
      <c r="B7" t="n">
        <v>3939.75</v>
      </c>
      <c r="C7" t="n">
        <v>1.63591</v>
      </c>
      <c r="D7" t="n">
        <v>1.46156</v>
      </c>
      <c r="E7" t="n">
        <v>1.66366</v>
      </c>
      <c r="F7" t="n">
        <v>0.49966</v>
      </c>
      <c r="G7" t="n">
        <v>0.11624</v>
      </c>
      <c r="H7" t="n">
        <v>0.11053</v>
      </c>
      <c r="I7" t="n">
        <v>0.0405</v>
      </c>
      <c r="J7" t="n">
        <v>2.6301</v>
      </c>
      <c r="K7" t="n">
        <v>5.0087</v>
      </c>
      <c r="L7" t="n">
        <v>3.16213</v>
      </c>
      <c r="M7" t="n">
        <v>0.00101</v>
      </c>
      <c r="N7" t="n">
        <v>0.00101</v>
      </c>
      <c r="O7" t="n">
        <v>0.00101</v>
      </c>
    </row>
    <row r="8">
      <c r="A8" t="n">
        <v>7</v>
      </c>
      <c r="B8" t="n">
        <v>4601.6</v>
      </c>
      <c r="C8" t="n">
        <v>1.50918</v>
      </c>
      <c r="D8" t="n">
        <v>1.24148</v>
      </c>
      <c r="E8" t="n">
        <v>1.57028</v>
      </c>
      <c r="F8" t="n">
        <v>0.14994</v>
      </c>
      <c r="G8" t="n">
        <v>0.11874</v>
      </c>
      <c r="H8" t="n">
        <v>0.10296</v>
      </c>
      <c r="I8" t="n">
        <v>0.03746</v>
      </c>
      <c r="J8" t="n">
        <v>2.63843</v>
      </c>
      <c r="K8" t="n">
        <v>5.05354</v>
      </c>
      <c r="L8" t="n">
        <v>3.25217</v>
      </c>
      <c r="M8" t="n">
        <v>0.000704073</v>
      </c>
      <c r="N8" t="n">
        <v>0.000704073</v>
      </c>
      <c r="O8" t="n">
        <v>0.000704073</v>
      </c>
    </row>
    <row r="9">
      <c r="A9" t="n">
        <v>8</v>
      </c>
      <c r="B9" t="n">
        <v>5284.43</v>
      </c>
      <c r="C9" t="n">
        <v>1.52161</v>
      </c>
      <c r="D9" t="n">
        <v>1.34276</v>
      </c>
      <c r="E9" t="n">
        <v>1.6054</v>
      </c>
      <c r="F9" t="n">
        <v>0.14589</v>
      </c>
      <c r="G9" t="n">
        <v>0.12146</v>
      </c>
      <c r="H9" t="n">
        <v>0.10367</v>
      </c>
      <c r="I9" t="n">
        <v>0.03789</v>
      </c>
      <c r="J9" t="n">
        <v>2.61965</v>
      </c>
      <c r="K9" t="n">
        <v>5.05476</v>
      </c>
      <c r="L9" t="n">
        <v>3.26117</v>
      </c>
      <c r="M9" t="n">
        <v>0.000428093</v>
      </c>
      <c r="N9" t="n">
        <v>0.000428093</v>
      </c>
      <c r="O9" t="n">
        <v>0.000428093</v>
      </c>
    </row>
    <row r="10">
      <c r="A10" t="n">
        <v>9</v>
      </c>
      <c r="B10" t="n">
        <v>5946.05</v>
      </c>
      <c r="C10" t="n">
        <v>1.52816</v>
      </c>
      <c r="D10" t="n">
        <v>1.26377</v>
      </c>
      <c r="E10" t="n">
        <v>1.55456</v>
      </c>
      <c r="F10" t="n">
        <v>0.14909</v>
      </c>
      <c r="G10" t="n">
        <v>0.12684</v>
      </c>
      <c r="H10" t="n">
        <v>0.11065</v>
      </c>
      <c r="I10" t="n">
        <v>0.04146</v>
      </c>
      <c r="J10" t="n">
        <v>2.56929</v>
      </c>
      <c r="K10" t="n">
        <v>5.00958</v>
      </c>
      <c r="L10" t="n">
        <v>3.23102</v>
      </c>
      <c r="M10" t="n">
        <v>0.000209073</v>
      </c>
      <c r="N10" t="n">
        <v>0.000209073</v>
      </c>
      <c r="O10" t="n">
        <v>0.000209073</v>
      </c>
    </row>
    <row r="11">
      <c r="A11" t="n">
        <v>10</v>
      </c>
      <c r="B11" t="n">
        <v>6569.98</v>
      </c>
      <c r="C11" t="n">
        <v>1.58605</v>
      </c>
      <c r="D11" t="n">
        <v>1.3444</v>
      </c>
      <c r="E11" t="n">
        <v>1.49489</v>
      </c>
      <c r="F11" t="n">
        <v>0.48499</v>
      </c>
      <c r="G11" t="n">
        <v>0.13246</v>
      </c>
      <c r="H11" t="n">
        <v>0.11717</v>
      </c>
      <c r="I11" t="n">
        <v>0.04478</v>
      </c>
      <c r="J11" t="n">
        <v>2.54835</v>
      </c>
      <c r="K11" t="n">
        <v>4.90256</v>
      </c>
      <c r="L11" t="n">
        <v>3.20741</v>
      </c>
      <c r="M11" t="n">
        <v>6.845400000000001e-05</v>
      </c>
      <c r="N11" t="n">
        <v>6.845400000000001e-05</v>
      </c>
      <c r="O11" t="n">
        <v>6.845400000000001e-05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MODEL ===</f>
        <v/>
      </c>
      <c r="B2" t="inlineStr"/>
    </row>
    <row r="3">
      <c r="A3" t="inlineStr">
        <is>
          <t>model</t>
        </is>
      </c>
      <c r="B3" t="inlineStr">
        <is>
          <t>/home/alperen/fomac/FoMAC/model-training/player-detection/models/football_detector_optimized/weights/best.pt</t>
        </is>
      </c>
    </row>
    <row r="4">
      <c r="A4" t="inlineStr"/>
      <c r="B4" t="inlineStr"/>
    </row>
    <row r="5">
      <c r="A5">
        <f>== IMGSZ ===</f>
        <v/>
      </c>
      <c r="B5" t="inlineStr"/>
    </row>
    <row r="6">
      <c r="A6" t="inlineStr">
        <is>
          <t>imgsz</t>
        </is>
      </c>
      <c r="B6" t="inlineStr">
        <is>
          <t>1024</t>
        </is>
      </c>
    </row>
    <row r="7">
      <c r="A7" t="inlineStr"/>
      <c r="B7" t="inlineStr"/>
    </row>
    <row r="8">
      <c r="A8">
        <f>== BATCH ===</f>
        <v/>
      </c>
      <c r="B8" t="inlineStr"/>
    </row>
    <row r="9">
      <c r="A9" t="inlineStr">
        <is>
          <t>batch</t>
        </is>
      </c>
      <c r="B9" t="inlineStr">
        <is>
          <t>4</t>
        </is>
      </c>
    </row>
    <row r="10">
      <c r="A10" t="inlineStr"/>
      <c r="B10" t="inlineStr"/>
    </row>
    <row r="11">
      <c r="A11">
        <f>== EPOCHS ===</f>
        <v/>
      </c>
      <c r="B11" t="inlineStr"/>
    </row>
    <row r="12">
      <c r="A12" t="inlineStr">
        <is>
          <t>epochs</t>
        </is>
      </c>
      <c r="B12" t="inlineStr">
        <is>
          <t>10</t>
        </is>
      </c>
    </row>
    <row r="13">
      <c r="A13" t="inlineStr"/>
      <c r="B13" t="inlineStr"/>
    </row>
    <row r="14">
      <c r="A14">
        <f>== PRETRAINED ===</f>
        <v/>
      </c>
      <c r="B14" t="inlineStr"/>
    </row>
    <row r="15">
      <c r="A15" t="inlineStr">
        <is>
          <t>pretrained</t>
        </is>
      </c>
      <c r="B15" t="inlineStr">
        <is>
          <t>True</t>
        </is>
      </c>
    </row>
    <row r="16">
      <c r="A16" t="inlineStr"/>
      <c r="B16" t="inlineStr"/>
    </row>
    <row r="17">
      <c r="A17">
        <f>== OPTIMIZER ===</f>
        <v/>
      </c>
      <c r="B17" t="inlineStr"/>
    </row>
    <row r="18">
      <c r="A18" t="inlineStr">
        <is>
          <t>optimizer</t>
        </is>
      </c>
      <c r="B18" t="inlineStr">
        <is>
          <t>AdamW</t>
        </is>
      </c>
    </row>
    <row r="19">
      <c r="A19" t="inlineStr"/>
      <c r="B19" t="inlineStr"/>
    </row>
    <row r="20">
      <c r="A20">
        <f>== LR0 ===</f>
        <v/>
      </c>
      <c r="B20" t="inlineStr"/>
    </row>
    <row r="21">
      <c r="A21" t="inlineStr">
        <is>
          <t>lr0</t>
        </is>
      </c>
      <c r="B21" t="inlineStr">
        <is>
          <t>0.002</t>
        </is>
      </c>
    </row>
    <row r="22">
      <c r="A22" t="inlineStr"/>
      <c r="B22" t="inlineStr"/>
    </row>
    <row r="23">
      <c r="A23">
        <f>== LRF ===</f>
        <v/>
      </c>
      <c r="B23" t="inlineStr"/>
    </row>
    <row r="24">
      <c r="A24" t="inlineStr">
        <is>
          <t>lrf</t>
        </is>
      </c>
      <c r="B24" t="inlineStr">
        <is>
          <t>0.01</t>
        </is>
      </c>
    </row>
    <row r="25">
      <c r="A25" t="inlineStr"/>
      <c r="B25" t="inlineStr"/>
    </row>
    <row r="26">
      <c r="A26">
        <f>== MOMENTUM ===</f>
        <v/>
      </c>
      <c r="B26" t="inlineStr"/>
    </row>
    <row r="27">
      <c r="A27" t="inlineStr">
        <is>
          <t>momentum</t>
        </is>
      </c>
      <c r="B27" t="inlineStr">
        <is>
          <t>0.937</t>
        </is>
      </c>
    </row>
    <row r="28">
      <c r="A28" t="inlineStr"/>
      <c r="B28" t="inlineStr"/>
    </row>
    <row r="29">
      <c r="A29">
        <f>== WEIGHT_DECAY ===</f>
        <v/>
      </c>
      <c r="B29" t="inlineStr"/>
    </row>
    <row r="30">
      <c r="A30" t="inlineStr">
        <is>
          <t>weight_decay</t>
        </is>
      </c>
      <c r="B30" t="inlineStr">
        <is>
          <t>0.0005</t>
        </is>
      </c>
    </row>
    <row r="31">
      <c r="A31" t="inlineStr"/>
      <c r="B31" t="inlineStr"/>
    </row>
    <row r="32">
      <c r="A32">
        <f>== WARMUP_EPOCHS ===</f>
        <v/>
      </c>
      <c r="B32" t="inlineStr"/>
    </row>
    <row r="33">
      <c r="A33" t="inlineStr">
        <is>
          <t>warmup_epochs</t>
        </is>
      </c>
      <c r="B33" t="inlineStr">
        <is>
          <t>4</t>
        </is>
      </c>
    </row>
    <row r="34">
      <c r="A34" t="inlineStr"/>
      <c r="B34" t="inlineStr"/>
    </row>
    <row r="35">
      <c r="A35">
        <f>== WARMUP_MOMENTUM ===</f>
        <v/>
      </c>
      <c r="B35" t="inlineStr"/>
    </row>
    <row r="36">
      <c r="A36" t="inlineStr">
        <is>
          <t>warmup_momentum</t>
        </is>
      </c>
      <c r="B36" t="inlineStr">
        <is>
          <t>0.8</t>
        </is>
      </c>
    </row>
    <row r="37">
      <c r="A37" t="inlineStr"/>
      <c r="B37" t="inlineStr"/>
    </row>
    <row r="38">
      <c r="A38">
        <f>== WARMUP_BIAS_LR ===</f>
        <v/>
      </c>
      <c r="B38" t="inlineStr"/>
    </row>
    <row r="39">
      <c r="A39" t="inlineStr">
        <is>
          <t>warmup_bias_lr</t>
        </is>
      </c>
      <c r="B39" t="inlineStr">
        <is>
          <t>0.1</t>
        </is>
      </c>
    </row>
    <row r="40">
      <c r="A40" t="inlineStr"/>
      <c r="B40" t="inlineStr"/>
    </row>
    <row r="41">
      <c r="A41">
        <f>== BOX ===</f>
        <v/>
      </c>
      <c r="B41" t="inlineStr"/>
    </row>
    <row r="42">
      <c r="A42" t="inlineStr">
        <is>
          <t>box</t>
        </is>
      </c>
      <c r="B42" t="inlineStr">
        <is>
          <t>7.5</t>
        </is>
      </c>
    </row>
    <row r="43">
      <c r="A43" t="inlineStr"/>
      <c r="B43" t="inlineStr"/>
    </row>
    <row r="44">
      <c r="A44">
        <f>== CLS ===</f>
        <v/>
      </c>
      <c r="B44" t="inlineStr"/>
    </row>
    <row r="45">
      <c r="A45" t="inlineStr">
        <is>
          <t>cls</t>
        </is>
      </c>
      <c r="B45" t="inlineStr">
        <is>
          <t>0.4</t>
        </is>
      </c>
    </row>
    <row r="46">
      <c r="A46" t="inlineStr"/>
      <c r="B46" t="inlineStr"/>
    </row>
    <row r="47">
      <c r="A47">
        <f>== DFL ===</f>
        <v/>
      </c>
      <c r="B47" t="inlineStr"/>
    </row>
    <row r="48">
      <c r="A48" t="inlineStr">
        <is>
          <t>dfl</t>
        </is>
      </c>
      <c r="B48" t="inlineStr">
        <is>
          <t>2.0</t>
        </is>
      </c>
    </row>
    <row r="49">
      <c r="A49" t="inlineStr"/>
      <c r="B49" t="inlineStr"/>
    </row>
    <row r="50">
      <c r="A50">
        <f>== HSV_H ===</f>
        <v/>
      </c>
      <c r="B50" t="inlineStr"/>
    </row>
    <row r="51">
      <c r="A51" t="inlineStr">
        <is>
          <t>hsv_h</t>
        </is>
      </c>
      <c r="B51" t="inlineStr">
        <is>
          <t>0.02</t>
        </is>
      </c>
    </row>
    <row r="52">
      <c r="A52" t="inlineStr"/>
      <c r="B52" t="inlineStr"/>
    </row>
    <row r="53">
      <c r="A53">
        <f>== HSV_S ===</f>
        <v/>
      </c>
      <c r="B53" t="inlineStr"/>
    </row>
    <row r="54">
      <c r="A54" t="inlineStr">
        <is>
          <t>hsv_s</t>
        </is>
      </c>
      <c r="B54" t="inlineStr">
        <is>
          <t>0.5</t>
        </is>
      </c>
    </row>
    <row r="55">
      <c r="A55" t="inlineStr"/>
      <c r="B55" t="inlineStr"/>
    </row>
    <row r="56">
      <c r="A56">
        <f>== HSV_V ===</f>
        <v/>
      </c>
      <c r="B56" t="inlineStr"/>
    </row>
    <row r="57">
      <c r="A57" t="inlineStr">
        <is>
          <t>hsv_v</t>
        </is>
      </c>
      <c r="B57" t="inlineStr">
        <is>
          <t>0.4</t>
        </is>
      </c>
    </row>
    <row r="58">
      <c r="A58" t="inlineStr"/>
      <c r="B58" t="inlineStr"/>
    </row>
    <row r="59">
      <c r="A59">
        <f>== DEGREES ===</f>
        <v/>
      </c>
      <c r="B59" t="inlineStr"/>
    </row>
    <row r="60">
      <c r="A60" t="inlineStr">
        <is>
          <t>degrees</t>
        </is>
      </c>
      <c r="B60" t="inlineStr">
        <is>
          <t>3.0</t>
        </is>
      </c>
    </row>
    <row r="61">
      <c r="A61" t="inlineStr"/>
      <c r="B61" t="inlineStr"/>
    </row>
    <row r="62">
      <c r="A62">
        <f>== TRANSLATE ===</f>
        <v/>
      </c>
      <c r="B62" t="inlineStr"/>
    </row>
    <row r="63">
      <c r="A63" t="inlineStr">
        <is>
          <t>translate</t>
        </is>
      </c>
      <c r="B63" t="inlineStr">
        <is>
          <t>0.1</t>
        </is>
      </c>
    </row>
    <row r="64">
      <c r="A64" t="inlineStr"/>
      <c r="B64" t="inlineStr"/>
    </row>
    <row r="65">
      <c r="A65">
        <f>== SCALE ===</f>
        <v/>
      </c>
      <c r="B65" t="inlineStr"/>
    </row>
    <row r="66">
      <c r="A66" t="inlineStr">
        <is>
          <t>scale</t>
        </is>
      </c>
      <c r="B66" t="inlineStr">
        <is>
          <t>0.5</t>
        </is>
      </c>
    </row>
    <row r="67">
      <c r="A67" t="inlineStr"/>
      <c r="B67" t="inlineStr"/>
    </row>
    <row r="68">
      <c r="A68">
        <f>== SHEAR ===</f>
        <v/>
      </c>
      <c r="B68" t="inlineStr"/>
    </row>
    <row r="69">
      <c r="A69" t="inlineStr">
        <is>
          <t>shear</t>
        </is>
      </c>
      <c r="B69" t="inlineStr">
        <is>
          <t>0.0</t>
        </is>
      </c>
    </row>
    <row r="70">
      <c r="A70" t="inlineStr"/>
      <c r="B70" t="inlineStr"/>
    </row>
    <row r="71">
      <c r="A71">
        <f>== PERSPECTIVE ===</f>
        <v/>
      </c>
      <c r="B71" t="inlineStr"/>
    </row>
    <row r="72">
      <c r="A72" t="inlineStr">
        <is>
          <t>perspective</t>
        </is>
      </c>
      <c r="B72" t="inlineStr">
        <is>
          <t>0.0</t>
        </is>
      </c>
    </row>
    <row r="73">
      <c r="A73" t="inlineStr"/>
      <c r="B73" t="inlineStr"/>
    </row>
    <row r="74">
      <c r="A74">
        <f>== FLIPUD ===</f>
        <v/>
      </c>
      <c r="B74" t="inlineStr"/>
    </row>
    <row r="75">
      <c r="A75" t="inlineStr">
        <is>
          <t>flipud</t>
        </is>
      </c>
      <c r="B75" t="inlineStr">
        <is>
          <t>0.0</t>
        </is>
      </c>
    </row>
    <row r="76">
      <c r="A76" t="inlineStr"/>
      <c r="B76" t="inlineStr"/>
    </row>
    <row r="77">
      <c r="A77">
        <f>== FLIPLR ===</f>
        <v/>
      </c>
      <c r="B77" t="inlineStr"/>
    </row>
    <row r="78">
      <c r="A78" t="inlineStr">
        <is>
          <t>fliplr</t>
        </is>
      </c>
      <c r="B78" t="inlineStr">
        <is>
          <t>0.5</t>
        </is>
      </c>
    </row>
    <row r="79">
      <c r="A79" t="inlineStr"/>
      <c r="B79" t="inlineStr"/>
    </row>
    <row r="80">
      <c r="A80">
        <f>== MOSAIC ===</f>
        <v/>
      </c>
      <c r="B80" t="inlineStr"/>
    </row>
    <row r="81">
      <c r="A81" t="inlineStr">
        <is>
          <t>mosaic</t>
        </is>
      </c>
      <c r="B81" t="inlineStr">
        <is>
          <t>0.8</t>
        </is>
      </c>
    </row>
    <row r="82">
      <c r="A82" t="inlineStr"/>
      <c r="B82" t="inlineStr"/>
    </row>
    <row r="83">
      <c r="A83">
        <f>== MIXUP ===</f>
        <v/>
      </c>
      <c r="B83" t="inlineStr"/>
    </row>
    <row r="84">
      <c r="A84" t="inlineStr">
        <is>
          <t>mixup</t>
        </is>
      </c>
      <c r="B84" t="inlineStr">
        <is>
          <t>0.05</t>
        </is>
      </c>
    </row>
    <row r="85">
      <c r="A85" t="inlineStr"/>
      <c r="B85" t="inlineStr"/>
    </row>
    <row r="86">
      <c r="A86">
        <f>== COPY_PASTE ===</f>
        <v/>
      </c>
      <c r="B86" t="inlineStr"/>
    </row>
    <row r="87">
      <c r="A87" t="inlineStr">
        <is>
          <t>copy_paste</t>
        </is>
      </c>
      <c r="B87" t="inlineStr">
        <is>
          <t>0.1</t>
        </is>
      </c>
    </row>
    <row r="88">
      <c r="A88" t="inlineStr"/>
      <c r="B88" t="inlineStr"/>
    </row>
    <row r="89">
      <c r="A89">
        <f>== PATIENCE ===</f>
        <v/>
      </c>
      <c r="B89" t="inlineStr"/>
    </row>
    <row r="90">
      <c r="A90" t="inlineStr">
        <is>
          <t>patience</t>
        </is>
      </c>
      <c r="B90" t="inlineStr">
        <is>
          <t>20</t>
        </is>
      </c>
    </row>
    <row r="91">
      <c r="A91" t="inlineStr"/>
      <c r="B91" t="inlineStr"/>
    </row>
    <row r="92">
      <c r="A92">
        <f>== SAVE_PERIOD ===</f>
        <v/>
      </c>
      <c r="B92" t="inlineStr"/>
    </row>
    <row r="93">
      <c r="A93" t="inlineStr">
        <is>
          <t>save_period</t>
        </is>
      </c>
      <c r="B93" t="inlineStr">
        <is>
          <t>3</t>
        </is>
      </c>
    </row>
    <row r="94">
      <c r="A94" t="inlineStr"/>
      <c r="B94" t="inlineStr"/>
    </row>
    <row r="95">
      <c r="A95">
        <f>== CACHE ===</f>
        <v/>
      </c>
      <c r="B95" t="inlineStr"/>
    </row>
    <row r="96">
      <c r="A96" t="inlineStr">
        <is>
          <t>cache</t>
        </is>
      </c>
      <c r="B96" t="inlineStr">
        <is>
          <t>True</t>
        </is>
      </c>
    </row>
    <row r="97">
      <c r="A97" t="inlineStr"/>
      <c r="B97" t="inlineStr"/>
    </row>
    <row r="98">
      <c r="A98">
        <f>== RECT ===</f>
        <v/>
      </c>
      <c r="B98" t="inlineStr"/>
    </row>
    <row r="99">
      <c r="A99" t="inlineStr">
        <is>
          <t>rect</t>
        </is>
      </c>
      <c r="B99" t="inlineStr">
        <is>
          <t>False</t>
        </is>
      </c>
    </row>
    <row r="100">
      <c r="A100" t="inlineStr"/>
      <c r="B100" t="inlineStr"/>
    </row>
    <row r="101">
      <c r="A101">
        <f>== COS_LR ===</f>
        <v/>
      </c>
      <c r="B101" t="inlineStr"/>
    </row>
    <row r="102">
      <c r="A102" t="inlineStr">
        <is>
          <t>cos_lr</t>
        </is>
      </c>
      <c r="B102" t="inlineStr">
        <is>
          <t>True</t>
        </is>
      </c>
    </row>
    <row r="103">
      <c r="A103" t="inlineStr"/>
      <c r="B103" t="inlineStr"/>
    </row>
    <row r="104">
      <c r="A104">
        <f>== CLOSE_MOSAIC ===</f>
        <v/>
      </c>
      <c r="B104" t="inlineStr"/>
    </row>
    <row r="105">
      <c r="A105" t="inlineStr">
        <is>
          <t>close_mosaic</t>
        </is>
      </c>
      <c r="B105" t="inlineStr">
        <is>
          <t>10</t>
        </is>
      </c>
    </row>
    <row r="106">
      <c r="A106" t="inlineStr"/>
      <c r="B106" t="inlineStr"/>
    </row>
    <row r="107">
      <c r="A107">
        <f>== MULTI_SCALE ===</f>
        <v/>
      </c>
      <c r="B107" t="inlineStr"/>
    </row>
    <row r="108">
      <c r="A108" t="inlineStr">
        <is>
          <t>multi_scale</t>
        </is>
      </c>
      <c r="B108" t="inlineStr">
        <is>
          <t>True</t>
        </is>
      </c>
    </row>
    <row r="109">
      <c r="A109" t="inlineStr"/>
      <c r="B109" t="inlineStr"/>
    </row>
    <row r="110">
      <c r="A110">
        <f>== DROPOUT ===</f>
        <v/>
      </c>
      <c r="B110" t="inlineStr"/>
    </row>
    <row r="111">
      <c r="A111" t="inlineStr">
        <is>
          <t>dropout</t>
        </is>
      </c>
      <c r="B111" t="inlineStr">
        <is>
          <t>0.1</t>
        </is>
      </c>
    </row>
    <row r="112">
      <c r="A112" t="inlineStr"/>
      <c r="B112" t="inlineStr"/>
    </row>
    <row r="113">
      <c r="A113">
        <f>== VAL ===</f>
        <v/>
      </c>
      <c r="B113" t="inlineStr"/>
    </row>
    <row r="114">
      <c r="A114" t="inlineStr">
        <is>
          <t>val</t>
        </is>
      </c>
      <c r="B114" t="inlineStr">
        <is>
          <t>True</t>
        </is>
      </c>
    </row>
    <row r="115">
      <c r="A115" t="inlineStr"/>
      <c r="B115" t="inlineStr"/>
    </row>
    <row r="116">
      <c r="A116">
        <f>== CONF ===</f>
        <v/>
      </c>
      <c r="B116" t="inlineStr"/>
    </row>
    <row r="117">
      <c r="A117" t="inlineStr">
        <is>
          <t>conf</t>
        </is>
      </c>
      <c r="B117" t="inlineStr">
        <is>
          <t>0.01</t>
        </is>
      </c>
    </row>
    <row r="118">
      <c r="A118" t="inlineStr"/>
      <c r="B118" t="inlineStr"/>
    </row>
    <row r="119">
      <c r="A119">
        <f>== IOU ===</f>
        <v/>
      </c>
      <c r="B119" t="inlineStr"/>
    </row>
    <row r="120">
      <c r="A120" t="inlineStr">
        <is>
          <t>iou</t>
        </is>
      </c>
      <c r="B120" t="inlineStr">
        <is>
          <t>0.65</t>
        </is>
      </c>
    </row>
    <row r="121">
      <c r="A121" t="inlineStr"/>
      <c r="B121" t="inlineStr"/>
    </row>
    <row r="122">
      <c r="A122">
        <f>== MAX_DET ===</f>
        <v/>
      </c>
      <c r="B122" t="inlineStr"/>
    </row>
    <row r="123">
      <c r="A123" t="inlineStr">
        <is>
          <t>max_det</t>
        </is>
      </c>
      <c r="B123" t="inlineStr">
        <is>
          <t>1000</t>
        </is>
      </c>
    </row>
    <row r="124">
      <c r="A124" t="inlineStr"/>
      <c r="B124" t="inlineStr"/>
    </row>
    <row r="125">
      <c r="A125">
        <f>== WORKERS ===</f>
        <v/>
      </c>
      <c r="B125" t="inlineStr"/>
    </row>
    <row r="126">
      <c r="A126" t="inlineStr">
        <is>
          <t>workers</t>
        </is>
      </c>
      <c r="B126" t="inlineStr">
        <is>
          <t>12</t>
        </is>
      </c>
    </row>
    <row r="127">
      <c r="A127" t="inlineStr"/>
      <c r="B127" t="inlineStr"/>
    </row>
    <row r="128">
      <c r="A128">
        <f>== PROFILE ===</f>
        <v/>
      </c>
      <c r="B128" t="inlineStr"/>
    </row>
    <row r="129">
      <c r="A129" t="inlineStr">
        <is>
          <t>profile</t>
        </is>
      </c>
      <c r="B129" t="inlineStr">
        <is>
          <t>False</t>
        </is>
      </c>
    </row>
    <row r="130">
      <c r="A130" t="inlineStr"/>
      <c r="B130" t="inlineStr"/>
    </row>
    <row r="131">
      <c r="A131">
        <f>== FRACTION ===</f>
        <v/>
      </c>
      <c r="B131" t="inlineStr"/>
    </row>
    <row r="132">
      <c r="A132" t="inlineStr">
        <is>
          <t>fraction</t>
        </is>
      </c>
      <c r="B132" t="inlineStr">
        <is>
          <t>0.01</t>
        </is>
      </c>
    </row>
    <row r="133">
      <c r="A133" t="inlineStr"/>
      <c r="B133" t="inlineStr"/>
    </row>
    <row r="134">
      <c r="A134">
        <f>== AMP ===</f>
        <v/>
      </c>
      <c r="B134" t="inlineStr"/>
    </row>
    <row r="135">
      <c r="A135" t="inlineStr">
        <is>
          <t>amp</t>
        </is>
      </c>
      <c r="B135" t="inlineStr">
        <is>
          <t>True</t>
        </is>
      </c>
    </row>
    <row r="136">
      <c r="A136" t="inlineStr"/>
      <c r="B136" t="inlineStr"/>
    </row>
    <row r="137">
      <c r="A137">
        <f>== PROJECT_NAME ===</f>
        <v/>
      </c>
      <c r="B137" t="inlineStr"/>
    </row>
    <row r="138">
      <c r="A138" t="inlineStr">
        <is>
          <t>project_name</t>
        </is>
      </c>
      <c r="B138" t="inlineStr">
        <is>
          <t>player_ball_detector</t>
        </is>
      </c>
    </row>
    <row r="139">
      <c r="A139" t="inlineStr"/>
      <c r="B139" t="inlineStr"/>
    </row>
    <row r="140">
      <c r="A140">
        <f>== EXIST_OK ===</f>
        <v/>
      </c>
      <c r="B140" t="inlineStr"/>
    </row>
    <row r="141">
      <c r="A141" t="inlineStr">
        <is>
          <t>exist_ok</t>
        </is>
      </c>
      <c r="B141" t="inlineStr">
        <is>
          <t>True</t>
        </is>
      </c>
    </row>
    <row r="142">
      <c r="A142" t="inlineStr"/>
      <c r="B142" t="inlineStr"/>
    </row>
    <row r="143">
      <c r="A143">
        <f>== SAVE ===</f>
        <v/>
      </c>
      <c r="B143" t="inlineStr"/>
    </row>
    <row r="144">
      <c r="A144" t="inlineStr">
        <is>
          <t>save</t>
        </is>
      </c>
      <c r="B144" t="inlineStr">
        <is>
          <t>True</t>
        </is>
      </c>
    </row>
    <row r="145">
      <c r="A145" t="inlineStr"/>
      <c r="B145" t="inlineStr"/>
    </row>
    <row r="146">
      <c r="A146">
        <f>== BASELINE_METRICS ===</f>
        <v/>
      </c>
      <c r="B146" t="inlineStr"/>
    </row>
    <row r="147">
      <c r="A147" t="inlineStr">
        <is>
          <t>baseline_map50</t>
        </is>
      </c>
      <c r="B147" t="inlineStr">
        <is>
          <t>0.10553305965681181</t>
        </is>
      </c>
    </row>
    <row r="148">
      <c r="A148" t="inlineStr">
        <is>
          <t>baseline_map50_95</t>
        </is>
      </c>
      <c r="B148" t="inlineStr">
        <is>
          <t>0.0</t>
        </is>
      </c>
    </row>
    <row r="149">
      <c r="A149" t="inlineStr">
        <is>
          <t>baseline_precision</t>
        </is>
      </c>
      <c r="B149" t="inlineStr">
        <is>
          <t>0.0</t>
        </is>
      </c>
    </row>
    <row r="150">
      <c r="A150" t="inlineStr">
        <is>
          <t>baseline_recall</t>
        </is>
      </c>
      <c r="B150" t="inlineStr">
        <is>
          <t>0.0</t>
        </is>
      </c>
    </row>
    <row r="151">
      <c r="A151" t="inlineStr">
        <is>
          <t>baseline_player_map50</t>
        </is>
      </c>
      <c r="B151" t="inlineStr">
        <is>
          <t>0.21106611931362362</t>
        </is>
      </c>
    </row>
    <row r="152">
      <c r="A152" t="inlineStr">
        <is>
          <t>baseline_player_precision</t>
        </is>
      </c>
      <c r="B152" t="inlineStr">
        <is>
          <t>0.98</t>
        </is>
      </c>
    </row>
    <row r="153">
      <c r="A153" t="inlineStr">
        <is>
          <t>baseline_player_recall</t>
        </is>
      </c>
      <c r="B153" t="inlineStr">
        <is>
          <t>0.92</t>
        </is>
      </c>
    </row>
    <row r="154">
      <c r="A154" t="inlineStr">
        <is>
          <t>baseline_ball_map50</t>
        </is>
      </c>
      <c r="B154" t="inlineStr">
        <is>
          <t>0.0</t>
        </is>
      </c>
    </row>
    <row r="155">
      <c r="A155" t="inlineStr">
        <is>
          <t>baseline_ball_precision</t>
        </is>
      </c>
      <c r="B155" t="inlineStr">
        <is>
          <t>0.0</t>
        </is>
      </c>
    </row>
    <row r="156">
      <c r="A156" t="inlineStr">
        <is>
          <t>baseline_ball_recall</t>
        </is>
      </c>
      <c r="B156" t="inlineStr">
        <is>
          <t>0.0</t>
        </is>
      </c>
    </row>
    <row r="157">
      <c r="A157" t="inlineStr">
        <is>
          <t>baseline_model_type</t>
        </is>
      </c>
      <c r="B157" t="inlineStr">
        <is>
          <t>Pretrained Player Detection Model</t>
        </is>
      </c>
    </row>
    <row r="158">
      <c r="A158" t="inlineStr">
        <is>
          <t>baseline_classes</t>
        </is>
      </c>
      <c r="B158" t="inlineStr">
        <is>
          <t>Adapted from 1-class (player) to 2-class (player+ball)</t>
        </is>
      </c>
    </row>
    <row r="159">
      <c r="A159" t="inlineStr">
        <is>
          <t>baseline_note</t>
        </is>
      </c>
      <c r="B159" t="inlineStr">
        <is>
          <t>Realistic transfer learning baseline - Player model performance before ball training</t>
        </is>
      </c>
    </row>
    <row r="160">
      <c r="A160" t="inlineStr"/>
      <c r="B1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dataset statistics available</t>
        </is>
      </c>
    </row>
    <row r="3">
      <c r="A3" t="inlineStr">
        <is>
          <t>Dataset stats can be generated during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2025-10-29T18:09:09Z</dcterms:created>
  <dcterms:modified xsi:type="dcterms:W3CDTF">2025-10-29T18:09:09Z</dcterms:modified>
</cp:coreProperties>
</file>